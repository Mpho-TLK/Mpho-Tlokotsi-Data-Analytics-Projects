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essicajardim/Downloads/"/>
    </mc:Choice>
  </mc:AlternateContent>
  <xr:revisionPtr revIDLastSave="0" documentId="8_{3E945264-D4AD-D646-9C22-FFAB5F4398FD}" xr6:coauthVersionLast="47" xr6:coauthVersionMax="47" xr10:uidLastSave="{00000000-0000-0000-0000-000000000000}"/>
  <bookViews>
    <workbookView xWindow="0" yWindow="740" windowWidth="30240" windowHeight="18900" tabRatio="500" activeTab="4" xr2:uid="{00000000-000D-0000-FFFF-FFFF00000000}"/>
  </bookViews>
  <sheets>
    <sheet name="Q1.2 Bias-Variance" sheetId="1" r:id="rId1"/>
    <sheet name="Q2 Cross-Validation" sheetId="2" r:id="rId2"/>
    <sheet name="Q4 Bayes Theorem" sheetId="3" r:id="rId3"/>
    <sheet name="Q5 Gaussian Kernel" sheetId="4" r:id="rId4"/>
    <sheet name="Q6 PC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5" l="1"/>
  <c r="C10" i="5"/>
  <c r="C15" i="5" s="1"/>
  <c r="B10" i="5"/>
  <c r="D9" i="5"/>
  <c r="D16" i="5" s="1"/>
  <c r="C9" i="5"/>
  <c r="C14" i="5" s="1"/>
  <c r="B9" i="5"/>
  <c r="B16" i="5" s="1"/>
  <c r="G18" i="4"/>
  <c r="F20" i="4" s="1"/>
  <c r="F18" i="4"/>
  <c r="D17" i="3"/>
  <c r="D18" i="3" s="1"/>
  <c r="B11" i="3"/>
  <c r="B5" i="3"/>
  <c r="D15" i="3" s="1"/>
  <c r="D25" i="1"/>
  <c r="C25" i="1"/>
  <c r="B25" i="1"/>
  <c r="C24" i="1"/>
  <c r="B24" i="1"/>
  <c r="C20" i="1"/>
  <c r="C13" i="1"/>
  <c r="D24" i="1" s="1"/>
  <c r="D21" i="5" l="1"/>
  <c r="C21" i="5"/>
  <c r="B21" i="5"/>
  <c r="B14" i="5"/>
  <c r="C16" i="5"/>
  <c r="D15" i="5"/>
  <c r="D14" i="5"/>
  <c r="B15" i="5"/>
  <c r="D22" i="5" l="1"/>
  <c r="C22" i="5"/>
  <c r="B22" i="5"/>
  <c r="D20" i="5"/>
  <c r="C20" i="5"/>
  <c r="B20" i="5"/>
  <c r="C31" i="5" s="1"/>
</calcChain>
</file>

<file path=xl/sharedStrings.xml><?xml version="1.0" encoding="utf-8"?>
<sst xmlns="http://schemas.openxmlformats.org/spreadsheetml/2006/main" count="316" uniqueCount="129">
  <si>
    <t>Q1.2  Bias-Variance Decomposition of MSE</t>
  </si>
  <si>
    <t>Given</t>
  </si>
  <si>
    <t>Value</t>
  </si>
  <si>
    <t>Training MSE</t>
  </si>
  <si>
    <t>Test MSE</t>
  </si>
  <si>
    <t>Irreducible Error  σ²</t>
  </si>
  <si>
    <t>Part a)  Training  –  Bias² + Variance</t>
  </si>
  <si>
    <t>Step</t>
  </si>
  <si>
    <t>Working</t>
  </si>
  <si>
    <t>Result</t>
  </si>
  <si>
    <t>Formula</t>
  </si>
  <si>
    <t>MSE  =  Bias²  +  Variance  +  σ²</t>
  </si>
  <si>
    <t>Rearrange</t>
  </si>
  <si>
    <t>Bias²  +  Variance  =  MSE  –  σ²</t>
  </si>
  <si>
    <t>Substitute</t>
  </si>
  <si>
    <t>Bias²  +  Variance  =  15  –  5</t>
  </si>
  <si>
    <t>Answer</t>
  </si>
  <si>
    <t>Bias²  +  Variance  (Training)  =</t>
  </si>
  <si>
    <t>Part b)  Test  –  Bias² + Variance</t>
  </si>
  <si>
    <t>Bias²  +  Variance  =  22  –  5</t>
  </si>
  <si>
    <t>Bias²  +  Variance  (Test)  =</t>
  </si>
  <si>
    <t>Summary</t>
  </si>
  <si>
    <t>Dataset</t>
  </si>
  <si>
    <t>MSE</t>
  </si>
  <si>
    <t>σ²</t>
  </si>
  <si>
    <t>Bias² + Variance</t>
  </si>
  <si>
    <t>Training</t>
  </si>
  <si>
    <t>Test</t>
  </si>
  <si>
    <t>Q2  –  5-Fold Cross-Validation with Logistic Regression</t>
  </si>
  <si>
    <t>Dataset  (Fold assignment: sequential groups of 6)</t>
  </si>
  <si>
    <t>ID</t>
  </si>
  <si>
    <t>Strength</t>
  </si>
  <si>
    <t>Agility</t>
  </si>
  <si>
    <t>Tr.Hours</t>
  </si>
  <si>
    <t>Fold</t>
  </si>
  <si>
    <t>Sidekick</t>
  </si>
  <si>
    <t>Hero</t>
  </si>
  <si>
    <t>Model coefficients  (β₀=-8.20,  β₁=0.55,  β₂=0.60,  β₃=0.45)</t>
  </si>
  <si>
    <t>z = β₀ + β₁·Strength + β₂·Agility + β₃·TrainingHours     P(Hero) = 1/(1+EXP(-z))     Threshold: P ≥ 0.50 → Hero</t>
  </si>
  <si>
    <t>Fold 1  –  Test set: obs 1–6</t>
  </si>
  <si>
    <t>Actual</t>
  </si>
  <si>
    <t>z</t>
  </si>
  <si>
    <t>P(Hero)</t>
  </si>
  <si>
    <t>Predicted</t>
  </si>
  <si>
    <t>Correct?</t>
  </si>
  <si>
    <t>Yes</t>
  </si>
  <si>
    <t>Accuracy: 6/6 = 100.0%</t>
  </si>
  <si>
    <t>Fold 2  –  Test set: obs 7–12</t>
  </si>
  <si>
    <t>No</t>
  </si>
  <si>
    <t>Accuracy: 2/6 = 33.3%</t>
  </si>
  <si>
    <t>Fold 3  –  Test set: obs 13–18</t>
  </si>
  <si>
    <t>Accuracy: 5/6 = 83.3%</t>
  </si>
  <si>
    <t>Fold 4  –  Test set: obs 19–24</t>
  </si>
  <si>
    <t>Accuracy: 4/6 = 66.7%</t>
  </si>
  <si>
    <t>Fold 5  –  Test set: obs 25–30</t>
  </si>
  <si>
    <t>Cross-Validation Summary</t>
  </si>
  <si>
    <t>Test Obs</t>
  </si>
  <si>
    <t>Accuracy (%)</t>
  </si>
  <si>
    <t>1–6</t>
  </si>
  <si>
    <t>7–12</t>
  </si>
  <si>
    <t>13–18</t>
  </si>
  <si>
    <t>19–24</t>
  </si>
  <si>
    <t>25–30</t>
  </si>
  <si>
    <t>Mean CV Accuracy</t>
  </si>
  <si>
    <t>Q4  –  Bayes' Theorem</t>
  </si>
  <si>
    <t>P(S=1)  –  studies regularly</t>
  </si>
  <si>
    <t>P(S=0)  –  does not study</t>
  </si>
  <si>
    <t>P(Pass|S=1)</t>
  </si>
  <si>
    <t>P(Pass|S=0)</t>
  </si>
  <si>
    <t>Q4.1  –  P(Pass | S=1)</t>
  </si>
  <si>
    <t>This is given directly in the problem.</t>
  </si>
  <si>
    <t>P(Pass | S=1)  =</t>
  </si>
  <si>
    <t>Q4.2  –  P(S=1 | Pass)  via Bayes' theorem</t>
  </si>
  <si>
    <t>Step 1</t>
  </si>
  <si>
    <t>P(Pass) = P(Pass|S=1)·P(S=1) + P(Pass|S=0)·P(S=0)</t>
  </si>
  <si>
    <t>0.9*0.6 + 0.6*0.4 = 0.54 + 0.24</t>
  </si>
  <si>
    <t>Step 2</t>
  </si>
  <si>
    <t>Numerator = P(Pass|S=1) · P(S=1)</t>
  </si>
  <si>
    <t>Step 3 (Answer)</t>
  </si>
  <si>
    <t>P(S=1|Pass) = Numerator / P(Pass)</t>
  </si>
  <si>
    <t>Q5  –  Gaussian Kernel Regression at x₀ = 3,  h = 1</t>
  </si>
  <si>
    <t>x</t>
  </si>
  <si>
    <t>y</t>
  </si>
  <si>
    <t>x₀ = 3</t>
  </si>
  <si>
    <t>h = 1</t>
  </si>
  <si>
    <t>Kernel:</t>
  </si>
  <si>
    <t>K(u) = (1/√(2π)) · exp(−u²/2)   where  u = (x₀ − xᵢ) / h</t>
  </si>
  <si>
    <t>xᵢ</t>
  </si>
  <si>
    <t>yᵢ</t>
  </si>
  <si>
    <t>(x₀ − xᵢ)</t>
  </si>
  <si>
    <t>u = diff/h</t>
  </si>
  <si>
    <t>u²</t>
  </si>
  <si>
    <t>K(u)</t>
  </si>
  <si>
    <t>K(u)·yᵢ</t>
  </si>
  <si>
    <t>Sum</t>
  </si>
  <si>
    <t>Ŷ(x₀=3)  =  ΣK(u)·yᵢ / ΣK(u)  =</t>
  </si>
  <si>
    <t>Q6  –  Standardisation, Covariance Matrix, and Eigenvalues</t>
  </si>
  <si>
    <t>Raw Data</t>
  </si>
  <si>
    <t>Feature A</t>
  </si>
  <si>
    <t>Feature B</t>
  </si>
  <si>
    <t>Feature C</t>
  </si>
  <si>
    <t>Sample 1</t>
  </si>
  <si>
    <t>Sample 2</t>
  </si>
  <si>
    <t>Sample 3</t>
  </si>
  <si>
    <t>Mean (x̄)</t>
  </si>
  <si>
    <t>Std Dev σ (population)</t>
  </si>
  <si>
    <t>Standardised Data  zᵢⱼ = (xᵢⱼ − x̄ⱼ) / σⱼ</t>
  </si>
  <si>
    <t>Covariance Matrix  Cov(i,j) = (1/n)·Σ(zᵢ)(zⱼ)</t>
  </si>
  <si>
    <t>Eigenvalue Calculation  –  Q6.2</t>
  </si>
  <si>
    <t>Characteristic polynomial:  det(C − λI) = 0</t>
  </si>
  <si>
    <t>λ³ − 3.0000λ² + 0.7903λ − 0.000000 = 0</t>
  </si>
  <si>
    <t>where:  trace(C) = ΣCii = coefficient of λ²</t>
  </si>
  <si>
    <t>Coefficient</t>
  </si>
  <si>
    <t>Trace  (coeff. of λ²)</t>
  </si>
  <si>
    <t>Caa + Cbb + Ccc  (sum of diagonal)</t>
  </si>
  <si>
    <t>Sum of 2×2 minors  (coeff. of λ)</t>
  </si>
  <si>
    <t>(Caa*Cbb - Cab^2) + (Caa*Ccc - Cac^2) + (Cbb*Ccc - Cbc^2)</t>
  </si>
  <si>
    <t>Determinant  (constant)</t>
  </si>
  <si>
    <t>det(C)</t>
  </si>
  <si>
    <t>Eigenvalues  (roots of polynomial)</t>
  </si>
  <si>
    <t>PC</t>
  </si>
  <si>
    <t>Eigenvalue</t>
  </si>
  <si>
    <t>Variance Explained (%)</t>
  </si>
  <si>
    <t>Cumulative (%)</t>
  </si>
  <si>
    <t>PC1</t>
  </si>
  <si>
    <t>PC2</t>
  </si>
  <si>
    <t>PC3</t>
  </si>
  <si>
    <t>Verification:  λ₁+λ₂+λ₃ = 3.0000  =  Trace(C) = 3.0000  ✓</t>
  </si>
  <si>
    <t>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</si>
</sst>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00000"/>
    <numFmt numFmtId="167" formatCode="0.0000"/>
  </numFmts>
  <fonts count="5" x14ac:knownFonts="1">
    <font>
      <sz val="11"/>
      <color theme="1"/>
      <name val="Calibri"/>
      <family val="2"/>
      <charset val="1"/>
    </font>
    <font>
      <b/>
      <sz val="12"/>
      <name val="Aptos Narrow"/>
      <charset val="1"/>
    </font>
    <font>
      <b/>
      <sz val="11"/>
      <name val="Aptos Narrow"/>
      <charset val="1"/>
    </font>
    <font>
      <sz val="11"/>
      <name val="Aptos Narrow"/>
      <charset val="1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1" xfId="0" applyBorder="1"/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 shrinkToFit="1"/>
    </xf>
    <xf numFmtId="0" fontId="0" fillId="0" borderId="0" xfId="0" applyAlignment="1">
      <alignment shrinkToFit="1"/>
    </xf>
    <xf numFmtId="0" fontId="2" fillId="0" borderId="1" xfId="0" applyFont="1" applyBorder="1" applyAlignment="1">
      <alignment horizontal="left" vertical="top" shrinkToFit="1"/>
    </xf>
    <xf numFmtId="0" fontId="2" fillId="0" borderId="1" xfId="0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 shrinkToFit="1"/>
    </xf>
    <xf numFmtId="0" fontId="3" fillId="0" borderId="0" xfId="0" applyFont="1" applyAlignment="1">
      <alignment horizontal="center" vertical="top" shrinkToFit="1"/>
    </xf>
    <xf numFmtId="0" fontId="2" fillId="0" borderId="0" xfId="0" applyFont="1" applyAlignment="1">
      <alignment horizontal="left" vertical="top" shrinkToFit="1"/>
    </xf>
    <xf numFmtId="0" fontId="3" fillId="0" borderId="0" xfId="0" applyFont="1" applyAlignment="1">
      <alignment horizontal="left" vertical="top" wrapText="1" shrinkToFit="1"/>
    </xf>
    <xf numFmtId="0" fontId="2" fillId="0" borderId="0" xfId="0" applyFont="1" applyAlignment="1">
      <alignment horizontal="center" shrinkToFi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Normal="100" workbookViewId="0">
      <selection activeCell="B20" sqref="B20"/>
    </sheetView>
  </sheetViews>
  <sheetFormatPr baseColWidth="10" defaultColWidth="8.6640625" defaultRowHeight="15" x14ac:dyDescent="0.2"/>
  <cols>
    <col min="1" max="1" width="28" style="21" customWidth="1"/>
    <col min="2" max="2" width="18" style="21" customWidth="1"/>
    <col min="3" max="3" width="28" style="21" customWidth="1"/>
    <col min="4" max="4" width="18" style="21" customWidth="1"/>
    <col min="5" max="16384" width="8.6640625" style="21"/>
  </cols>
  <sheetData>
    <row r="1" spans="1:4" ht="19.5" customHeight="1" x14ac:dyDescent="0.2">
      <c r="A1" s="20" t="s">
        <v>0</v>
      </c>
      <c r="B1" s="20"/>
      <c r="C1" s="20"/>
      <c r="D1" s="20"/>
    </row>
    <row r="3" spans="1:4" ht="15.75" customHeight="1" x14ac:dyDescent="0.2">
      <c r="A3" s="22" t="s">
        <v>1</v>
      </c>
      <c r="B3" s="23" t="s">
        <v>2</v>
      </c>
    </row>
    <row r="4" spans="1:4" ht="15" customHeight="1" x14ac:dyDescent="0.2">
      <c r="A4" s="24" t="s">
        <v>3</v>
      </c>
      <c r="B4" s="25">
        <v>15</v>
      </c>
    </row>
    <row r="5" spans="1:4" ht="15" customHeight="1" x14ac:dyDescent="0.2">
      <c r="A5" s="24" t="s">
        <v>4</v>
      </c>
      <c r="B5" s="25">
        <v>22</v>
      </c>
    </row>
    <row r="6" spans="1:4" ht="15" customHeight="1" x14ac:dyDescent="0.2">
      <c r="A6" s="24" t="s">
        <v>5</v>
      </c>
      <c r="B6" s="25">
        <v>5</v>
      </c>
    </row>
    <row r="8" spans="1:4" ht="15.75" customHeight="1" x14ac:dyDescent="0.2">
      <c r="A8" s="26" t="s">
        <v>6</v>
      </c>
      <c r="B8" s="26"/>
      <c r="C8" s="26"/>
      <c r="D8" s="26"/>
    </row>
    <row r="9" spans="1:4" ht="15.75" customHeight="1" x14ac:dyDescent="0.2">
      <c r="A9" s="22" t="s">
        <v>7</v>
      </c>
      <c r="B9" s="22" t="s">
        <v>8</v>
      </c>
      <c r="C9" s="23" t="s">
        <v>9</v>
      </c>
    </row>
    <row r="10" spans="1:4" ht="15" customHeight="1" x14ac:dyDescent="0.2">
      <c r="A10" s="24" t="s">
        <v>10</v>
      </c>
      <c r="B10" s="27" t="s">
        <v>11</v>
      </c>
    </row>
    <row r="11" spans="1:4" ht="15" customHeight="1" x14ac:dyDescent="0.2">
      <c r="A11" s="24" t="s">
        <v>12</v>
      </c>
      <c r="B11" s="27" t="s">
        <v>13</v>
      </c>
    </row>
    <row r="12" spans="1:4" ht="15" customHeight="1" x14ac:dyDescent="0.2">
      <c r="A12" s="24" t="s">
        <v>14</v>
      </c>
      <c r="B12" s="25" t="s">
        <v>15</v>
      </c>
    </row>
    <row r="13" spans="1:4" ht="15" customHeight="1" x14ac:dyDescent="0.2">
      <c r="A13" s="24" t="s">
        <v>16</v>
      </c>
      <c r="B13" s="25" t="s">
        <v>17</v>
      </c>
      <c r="C13" s="28">
        <f>B4-B6</f>
        <v>10</v>
      </c>
    </row>
    <row r="15" spans="1:4" ht="15.75" customHeight="1" x14ac:dyDescent="0.2">
      <c r="A15" s="26" t="s">
        <v>18</v>
      </c>
      <c r="B15" s="26"/>
      <c r="C15" s="26"/>
      <c r="D15" s="26"/>
    </row>
    <row r="16" spans="1:4" ht="15.75" customHeight="1" x14ac:dyDescent="0.2">
      <c r="A16" s="22" t="s">
        <v>7</v>
      </c>
      <c r="B16" s="22" t="s">
        <v>8</v>
      </c>
      <c r="C16" s="23" t="s">
        <v>9</v>
      </c>
    </row>
    <row r="17" spans="1:4" ht="15" customHeight="1" x14ac:dyDescent="0.2">
      <c r="A17" s="24" t="s">
        <v>10</v>
      </c>
      <c r="B17" s="27" t="s">
        <v>11</v>
      </c>
    </row>
    <row r="18" spans="1:4" ht="15" customHeight="1" x14ac:dyDescent="0.2">
      <c r="A18" s="24" t="s">
        <v>12</v>
      </c>
      <c r="B18" s="27" t="s">
        <v>13</v>
      </c>
    </row>
    <row r="19" spans="1:4" ht="15" customHeight="1" x14ac:dyDescent="0.2">
      <c r="A19" s="24" t="s">
        <v>14</v>
      </c>
      <c r="B19" s="24" t="s">
        <v>19</v>
      </c>
    </row>
    <row r="20" spans="1:4" ht="15" customHeight="1" x14ac:dyDescent="0.2">
      <c r="A20" s="24" t="s">
        <v>16</v>
      </c>
      <c r="B20" s="24" t="s">
        <v>20</v>
      </c>
      <c r="C20" s="28">
        <f>B5-B6</f>
        <v>17</v>
      </c>
    </row>
    <row r="22" spans="1:4" ht="15.75" customHeight="1" x14ac:dyDescent="0.2">
      <c r="A22" s="26" t="s">
        <v>21</v>
      </c>
      <c r="B22" s="26"/>
      <c r="C22" s="26"/>
      <c r="D22" s="26"/>
    </row>
    <row r="23" spans="1:4" ht="15.75" customHeight="1" x14ac:dyDescent="0.2">
      <c r="A23" s="23" t="s">
        <v>22</v>
      </c>
      <c r="B23" s="23" t="s">
        <v>23</v>
      </c>
      <c r="C23" s="23" t="s">
        <v>24</v>
      </c>
      <c r="D23" s="23" t="s">
        <v>25</v>
      </c>
    </row>
    <row r="24" spans="1:4" ht="15" customHeight="1" x14ac:dyDescent="0.2">
      <c r="A24" s="24" t="s">
        <v>26</v>
      </c>
      <c r="B24" s="25">
        <f>B4</f>
        <v>15</v>
      </c>
      <c r="C24" s="25">
        <f>B6</f>
        <v>5</v>
      </c>
      <c r="D24" s="25">
        <f>C13</f>
        <v>10</v>
      </c>
    </row>
    <row r="25" spans="1:4" ht="15" customHeight="1" x14ac:dyDescent="0.2">
      <c r="A25" s="24" t="s">
        <v>27</v>
      </c>
      <c r="B25" s="25">
        <f>B5</f>
        <v>22</v>
      </c>
      <c r="C25" s="25">
        <f>B6</f>
        <v>5</v>
      </c>
      <c r="D25" s="25">
        <f>C20</f>
        <v>17</v>
      </c>
    </row>
  </sheetData>
  <mergeCells count="4">
    <mergeCell ref="A1:D1"/>
    <mergeCell ref="A8:D8"/>
    <mergeCell ref="A15:D1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"/>
  <sheetViews>
    <sheetView topLeftCell="A32" zoomScaleNormal="100" workbookViewId="0">
      <selection activeCell="L8" sqref="L8:N8"/>
    </sheetView>
  </sheetViews>
  <sheetFormatPr baseColWidth="10" defaultColWidth="8.6640625" defaultRowHeight="15" x14ac:dyDescent="0.2"/>
  <cols>
    <col min="1" max="1" width="6" customWidth="1"/>
    <col min="2" max="2" width="10" customWidth="1"/>
    <col min="3" max="4" width="8" customWidth="1"/>
    <col min="5" max="5" width="14" customWidth="1"/>
    <col min="6" max="6" width="8" customWidth="1"/>
    <col min="7" max="7" width="6" customWidth="1"/>
    <col min="8" max="8" width="10" customWidth="1"/>
    <col min="9" max="9" width="8" customWidth="1"/>
    <col min="10" max="10" width="12" customWidth="1"/>
    <col min="11" max="11" width="18" customWidth="1"/>
  </cols>
  <sheetData>
    <row r="1" spans="1:11" ht="19.5" customHeight="1" x14ac:dyDescent="0.2">
      <c r="A1" s="5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15" customHeight="1" x14ac:dyDescent="0.2">
      <c r="A3" s="4" t="s">
        <v>29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5.75" customHeight="1" x14ac:dyDescent="0.2">
      <c r="A4" s="7" t="s">
        <v>30</v>
      </c>
      <c r="B4" s="7" t="s">
        <v>31</v>
      </c>
      <c r="C4" s="7" t="s">
        <v>32</v>
      </c>
      <c r="D4" s="7" t="s">
        <v>33</v>
      </c>
      <c r="E4" s="7" t="s">
        <v>9</v>
      </c>
      <c r="F4" s="7" t="s">
        <v>34</v>
      </c>
    </row>
    <row r="5" spans="1:11" ht="13.5" customHeight="1" x14ac:dyDescent="0.2">
      <c r="A5" s="9">
        <v>1</v>
      </c>
      <c r="B5" s="9">
        <v>4</v>
      </c>
      <c r="C5" s="9">
        <v>6</v>
      </c>
      <c r="D5" s="9">
        <v>5</v>
      </c>
      <c r="E5" s="9" t="s">
        <v>35</v>
      </c>
      <c r="F5" s="9">
        <v>1</v>
      </c>
    </row>
    <row r="6" spans="1:11" ht="13.5" customHeight="1" x14ac:dyDescent="0.2">
      <c r="A6" s="9">
        <v>2</v>
      </c>
      <c r="B6" s="9">
        <v>7</v>
      </c>
      <c r="C6" s="9">
        <v>8</v>
      </c>
      <c r="D6" s="9">
        <v>6</v>
      </c>
      <c r="E6" s="9" t="s">
        <v>36</v>
      </c>
      <c r="F6" s="9">
        <v>1</v>
      </c>
    </row>
    <row r="7" spans="1:11" ht="13.5" customHeight="1" x14ac:dyDescent="0.2">
      <c r="A7" s="9">
        <v>3</v>
      </c>
      <c r="B7" s="9">
        <v>5</v>
      </c>
      <c r="C7" s="9">
        <v>5</v>
      </c>
      <c r="D7" s="9">
        <v>4</v>
      </c>
      <c r="E7" s="9" t="s">
        <v>35</v>
      </c>
      <c r="F7" s="9">
        <v>1</v>
      </c>
    </row>
    <row r="8" spans="1:11" ht="13.5" customHeight="1" x14ac:dyDescent="0.2">
      <c r="A8" s="9">
        <v>4</v>
      </c>
      <c r="B8" s="9">
        <v>8</v>
      </c>
      <c r="C8" s="9">
        <v>7</v>
      </c>
      <c r="D8" s="9">
        <v>7</v>
      </c>
      <c r="E8" s="9" t="s">
        <v>36</v>
      </c>
      <c r="F8" s="9">
        <v>1</v>
      </c>
    </row>
    <row r="9" spans="1:11" ht="13.5" customHeight="1" x14ac:dyDescent="0.2">
      <c r="A9" s="9">
        <v>5</v>
      </c>
      <c r="B9" s="9">
        <v>6</v>
      </c>
      <c r="C9" s="9">
        <v>6</v>
      </c>
      <c r="D9" s="9">
        <v>6</v>
      </c>
      <c r="E9" s="9" t="s">
        <v>36</v>
      </c>
      <c r="F9" s="9">
        <v>1</v>
      </c>
    </row>
    <row r="10" spans="1:11" ht="13.5" customHeight="1" x14ac:dyDescent="0.2">
      <c r="A10" s="9">
        <v>6</v>
      </c>
      <c r="B10" s="9">
        <v>3</v>
      </c>
      <c r="C10" s="9">
        <v>4</v>
      </c>
      <c r="D10" s="9">
        <v>3</v>
      </c>
      <c r="E10" s="9" t="s">
        <v>35</v>
      </c>
      <c r="F10" s="9">
        <v>1</v>
      </c>
    </row>
    <row r="11" spans="1:11" ht="13.5" customHeight="1" x14ac:dyDescent="0.2">
      <c r="A11" s="9">
        <v>7</v>
      </c>
      <c r="B11" s="9">
        <v>9</v>
      </c>
      <c r="C11" s="9">
        <v>8</v>
      </c>
      <c r="D11" s="9">
        <v>5</v>
      </c>
      <c r="E11" s="9" t="s">
        <v>35</v>
      </c>
      <c r="F11" s="9">
        <v>2</v>
      </c>
    </row>
    <row r="12" spans="1:11" ht="13.5" customHeight="1" x14ac:dyDescent="0.2">
      <c r="A12" s="9">
        <v>8</v>
      </c>
      <c r="B12" s="9">
        <v>4</v>
      </c>
      <c r="C12" s="9">
        <v>5</v>
      </c>
      <c r="D12" s="9">
        <v>6</v>
      </c>
      <c r="E12" s="9" t="s">
        <v>36</v>
      </c>
      <c r="F12" s="9">
        <v>2</v>
      </c>
    </row>
    <row r="13" spans="1:11" ht="13.5" customHeight="1" x14ac:dyDescent="0.2">
      <c r="A13" s="9">
        <v>9</v>
      </c>
      <c r="B13" s="9">
        <v>8</v>
      </c>
      <c r="C13" s="9">
        <v>9</v>
      </c>
      <c r="D13" s="9">
        <v>7</v>
      </c>
      <c r="E13" s="9" t="s">
        <v>36</v>
      </c>
      <c r="F13" s="9">
        <v>2</v>
      </c>
    </row>
    <row r="14" spans="1:11" ht="13.5" customHeight="1" x14ac:dyDescent="0.2">
      <c r="A14" s="9">
        <v>10</v>
      </c>
      <c r="B14" s="9">
        <v>5</v>
      </c>
      <c r="C14" s="9">
        <v>6</v>
      </c>
      <c r="D14" s="9">
        <v>5</v>
      </c>
      <c r="E14" s="9" t="s">
        <v>35</v>
      </c>
      <c r="F14" s="9">
        <v>2</v>
      </c>
    </row>
    <row r="15" spans="1:11" ht="13.5" customHeight="1" x14ac:dyDescent="0.2">
      <c r="A15" s="9">
        <v>11</v>
      </c>
      <c r="B15" s="9">
        <v>6</v>
      </c>
      <c r="C15" s="9">
        <v>7</v>
      </c>
      <c r="D15" s="9">
        <v>6</v>
      </c>
      <c r="E15" s="9" t="s">
        <v>36</v>
      </c>
      <c r="F15" s="9">
        <v>2</v>
      </c>
    </row>
    <row r="16" spans="1:11" ht="13.5" customHeight="1" x14ac:dyDescent="0.2">
      <c r="A16" s="9">
        <v>12</v>
      </c>
      <c r="B16" s="9">
        <v>7</v>
      </c>
      <c r="C16" s="9">
        <v>7</v>
      </c>
      <c r="D16" s="9">
        <v>4</v>
      </c>
      <c r="E16" s="9" t="s">
        <v>35</v>
      </c>
      <c r="F16" s="9">
        <v>2</v>
      </c>
    </row>
    <row r="17" spans="1:6" ht="13.5" customHeight="1" x14ac:dyDescent="0.2">
      <c r="A17" s="9">
        <v>13</v>
      </c>
      <c r="B17" s="9">
        <v>6</v>
      </c>
      <c r="C17" s="9">
        <v>5</v>
      </c>
      <c r="D17" s="9">
        <v>5</v>
      </c>
      <c r="E17" s="9" t="s">
        <v>35</v>
      </c>
      <c r="F17" s="9">
        <v>3</v>
      </c>
    </row>
    <row r="18" spans="1:6" ht="13.5" customHeight="1" x14ac:dyDescent="0.2">
      <c r="A18" s="9">
        <v>14</v>
      </c>
      <c r="B18" s="9">
        <v>4</v>
      </c>
      <c r="C18" s="9">
        <v>6</v>
      </c>
      <c r="D18" s="9">
        <v>7</v>
      </c>
      <c r="E18" s="9" t="s">
        <v>36</v>
      </c>
      <c r="F18" s="9">
        <v>3</v>
      </c>
    </row>
    <row r="19" spans="1:6" ht="13.5" customHeight="1" x14ac:dyDescent="0.2">
      <c r="A19" s="9">
        <v>15</v>
      </c>
      <c r="B19" s="9">
        <v>9</v>
      </c>
      <c r="C19" s="9">
        <v>9</v>
      </c>
      <c r="D19" s="9">
        <v>8</v>
      </c>
      <c r="E19" s="9" t="s">
        <v>36</v>
      </c>
      <c r="F19" s="9">
        <v>3</v>
      </c>
    </row>
    <row r="20" spans="1:6" ht="13.5" customHeight="1" x14ac:dyDescent="0.2">
      <c r="A20" s="9">
        <v>16</v>
      </c>
      <c r="B20" s="9">
        <v>2</v>
      </c>
      <c r="C20" s="9">
        <v>3</v>
      </c>
      <c r="D20" s="9">
        <v>2</v>
      </c>
      <c r="E20" s="9" t="s">
        <v>35</v>
      </c>
      <c r="F20" s="9">
        <v>3</v>
      </c>
    </row>
    <row r="21" spans="1:6" ht="13.5" customHeight="1" x14ac:dyDescent="0.2">
      <c r="A21" s="9">
        <v>17</v>
      </c>
      <c r="B21" s="9">
        <v>8</v>
      </c>
      <c r="C21" s="9">
        <v>8</v>
      </c>
      <c r="D21" s="9">
        <v>7</v>
      </c>
      <c r="E21" s="9" t="s">
        <v>36</v>
      </c>
      <c r="F21" s="9">
        <v>3</v>
      </c>
    </row>
    <row r="22" spans="1:6" ht="13.5" customHeight="1" x14ac:dyDescent="0.2">
      <c r="A22" s="9">
        <v>18</v>
      </c>
      <c r="B22" s="9">
        <v>5</v>
      </c>
      <c r="C22" s="9">
        <v>5</v>
      </c>
      <c r="D22" s="9">
        <v>6</v>
      </c>
      <c r="E22" s="9" t="s">
        <v>36</v>
      </c>
      <c r="F22" s="9">
        <v>3</v>
      </c>
    </row>
    <row r="23" spans="1:6" ht="13.5" customHeight="1" x14ac:dyDescent="0.2">
      <c r="A23" s="9">
        <v>19</v>
      </c>
      <c r="B23" s="9">
        <v>7</v>
      </c>
      <c r="C23" s="9">
        <v>6</v>
      </c>
      <c r="D23" s="9">
        <v>6</v>
      </c>
      <c r="E23" s="9" t="s">
        <v>36</v>
      </c>
      <c r="F23" s="9">
        <v>4</v>
      </c>
    </row>
    <row r="24" spans="1:6" ht="13.5" customHeight="1" x14ac:dyDescent="0.2">
      <c r="A24" s="9">
        <v>20</v>
      </c>
      <c r="B24" s="9">
        <v>6</v>
      </c>
      <c r="C24" s="9">
        <v>7</v>
      </c>
      <c r="D24" s="9">
        <v>5</v>
      </c>
      <c r="E24" s="9" t="s">
        <v>35</v>
      </c>
      <c r="F24" s="9">
        <v>4</v>
      </c>
    </row>
    <row r="25" spans="1:6" ht="13.5" customHeight="1" x14ac:dyDescent="0.2">
      <c r="A25" s="9">
        <v>21</v>
      </c>
      <c r="B25" s="9">
        <v>3</v>
      </c>
      <c r="C25" s="9">
        <v>4</v>
      </c>
      <c r="D25" s="9">
        <v>3</v>
      </c>
      <c r="E25" s="9" t="s">
        <v>35</v>
      </c>
      <c r="F25" s="9">
        <v>4</v>
      </c>
    </row>
    <row r="26" spans="1:6" ht="13.5" customHeight="1" x14ac:dyDescent="0.2">
      <c r="A26" s="9">
        <v>22</v>
      </c>
      <c r="B26" s="9">
        <v>4</v>
      </c>
      <c r="C26" s="9">
        <v>5</v>
      </c>
      <c r="D26" s="9">
        <v>4</v>
      </c>
      <c r="E26" s="9" t="s">
        <v>35</v>
      </c>
      <c r="F26" s="9">
        <v>4</v>
      </c>
    </row>
    <row r="27" spans="1:6" ht="13.5" customHeight="1" x14ac:dyDescent="0.2">
      <c r="A27" s="9">
        <v>23</v>
      </c>
      <c r="B27" s="9">
        <v>8</v>
      </c>
      <c r="C27" s="9">
        <v>7</v>
      </c>
      <c r="D27" s="9">
        <v>7</v>
      </c>
      <c r="E27" s="9" t="s">
        <v>36</v>
      </c>
      <c r="F27" s="9">
        <v>4</v>
      </c>
    </row>
    <row r="28" spans="1:6" ht="13.5" customHeight="1" x14ac:dyDescent="0.2">
      <c r="A28" s="9">
        <v>24</v>
      </c>
      <c r="B28" s="9">
        <v>2</v>
      </c>
      <c r="C28" s="9">
        <v>2</v>
      </c>
      <c r="D28" s="9">
        <v>5</v>
      </c>
      <c r="E28" s="9" t="s">
        <v>36</v>
      </c>
      <c r="F28" s="9">
        <v>4</v>
      </c>
    </row>
    <row r="29" spans="1:6" ht="13.5" customHeight="1" x14ac:dyDescent="0.2">
      <c r="A29" s="9">
        <v>25</v>
      </c>
      <c r="B29" s="9">
        <v>9</v>
      </c>
      <c r="C29" s="9">
        <v>8</v>
      </c>
      <c r="D29" s="9">
        <v>9</v>
      </c>
      <c r="E29" s="9" t="s">
        <v>36</v>
      </c>
      <c r="F29" s="9">
        <v>5</v>
      </c>
    </row>
    <row r="30" spans="1:6" ht="13.5" customHeight="1" x14ac:dyDescent="0.2">
      <c r="A30" s="9">
        <v>26</v>
      </c>
      <c r="B30" s="9">
        <v>5</v>
      </c>
      <c r="C30" s="9">
        <v>6</v>
      </c>
      <c r="D30" s="9">
        <v>5</v>
      </c>
      <c r="E30" s="9" t="s">
        <v>35</v>
      </c>
      <c r="F30" s="9">
        <v>5</v>
      </c>
    </row>
    <row r="31" spans="1:6" ht="13.5" customHeight="1" x14ac:dyDescent="0.2">
      <c r="A31" s="9">
        <v>27</v>
      </c>
      <c r="B31" s="9">
        <v>7</v>
      </c>
      <c r="C31" s="9">
        <v>8</v>
      </c>
      <c r="D31" s="9">
        <v>6</v>
      </c>
      <c r="E31" s="9" t="s">
        <v>36</v>
      </c>
      <c r="F31" s="9">
        <v>5</v>
      </c>
    </row>
    <row r="32" spans="1:6" ht="13.5" customHeight="1" x14ac:dyDescent="0.2">
      <c r="A32" s="9">
        <v>28</v>
      </c>
      <c r="B32" s="9">
        <v>6</v>
      </c>
      <c r="C32" s="9">
        <v>6</v>
      </c>
      <c r="D32" s="9">
        <v>6</v>
      </c>
      <c r="E32" s="9" t="s">
        <v>36</v>
      </c>
      <c r="F32" s="9">
        <v>5</v>
      </c>
    </row>
    <row r="33" spans="1:11" ht="13.5" customHeight="1" x14ac:dyDescent="0.2">
      <c r="A33" s="9">
        <v>29</v>
      </c>
      <c r="B33" s="9">
        <v>4</v>
      </c>
      <c r="C33" s="9">
        <v>5</v>
      </c>
      <c r="D33" s="9">
        <v>4</v>
      </c>
      <c r="E33" s="9" t="s">
        <v>35</v>
      </c>
      <c r="F33" s="9">
        <v>5</v>
      </c>
    </row>
    <row r="34" spans="1:11" ht="13.5" customHeight="1" x14ac:dyDescent="0.2">
      <c r="A34" s="9">
        <v>30</v>
      </c>
      <c r="B34" s="9">
        <v>8</v>
      </c>
      <c r="C34" s="9">
        <v>9</v>
      </c>
      <c r="D34" s="9">
        <v>6</v>
      </c>
      <c r="E34" s="9" t="s">
        <v>36</v>
      </c>
      <c r="F34" s="9">
        <v>5</v>
      </c>
    </row>
    <row r="36" spans="1:11" ht="15" customHeight="1" x14ac:dyDescent="0.2">
      <c r="A36" s="4" t="s">
        <v>37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5" customHeight="1" x14ac:dyDescent="0.2">
      <c r="A37" s="3" t="s">
        <v>38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9" spans="1:11" ht="15" customHeight="1" x14ac:dyDescent="0.2">
      <c r="A39" s="4" t="s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5.75" customHeight="1" x14ac:dyDescent="0.2">
      <c r="A40" s="7" t="s">
        <v>30</v>
      </c>
      <c r="B40" s="7" t="s">
        <v>31</v>
      </c>
      <c r="C40" s="7" t="s">
        <v>32</v>
      </c>
      <c r="D40" s="7" t="s">
        <v>33</v>
      </c>
      <c r="E40" s="7" t="s">
        <v>40</v>
      </c>
      <c r="F40" s="7" t="s">
        <v>41</v>
      </c>
      <c r="G40" s="7" t="s">
        <v>42</v>
      </c>
      <c r="H40" s="7" t="s">
        <v>43</v>
      </c>
      <c r="I40" s="7" t="s">
        <v>44</v>
      </c>
    </row>
    <row r="41" spans="1:11" ht="13.5" customHeight="1" x14ac:dyDescent="0.2">
      <c r="A41" s="9">
        <v>1</v>
      </c>
      <c r="B41" s="9">
        <v>4</v>
      </c>
      <c r="C41" s="9">
        <v>6</v>
      </c>
      <c r="D41" s="9">
        <v>5</v>
      </c>
      <c r="E41" s="9" t="s">
        <v>35</v>
      </c>
      <c r="F41" s="9">
        <v>-0.15</v>
      </c>
      <c r="G41" s="9">
        <v>0.46260000000000001</v>
      </c>
      <c r="H41" s="9" t="s">
        <v>35</v>
      </c>
      <c r="I41" s="9" t="s">
        <v>45</v>
      </c>
    </row>
    <row r="42" spans="1:11" ht="13.5" customHeight="1" x14ac:dyDescent="0.2">
      <c r="A42" s="9">
        <v>2</v>
      </c>
      <c r="B42" s="9">
        <v>7</v>
      </c>
      <c r="C42" s="9">
        <v>8</v>
      </c>
      <c r="D42" s="9">
        <v>6</v>
      </c>
      <c r="E42" s="9" t="s">
        <v>36</v>
      </c>
      <c r="F42" s="9">
        <v>3.15</v>
      </c>
      <c r="G42" s="9">
        <v>0.95889999999999997</v>
      </c>
      <c r="H42" s="9" t="s">
        <v>36</v>
      </c>
      <c r="I42" s="9" t="s">
        <v>45</v>
      </c>
    </row>
    <row r="43" spans="1:11" ht="13.5" customHeight="1" x14ac:dyDescent="0.2">
      <c r="A43" s="9">
        <v>3</v>
      </c>
      <c r="B43" s="9">
        <v>5</v>
      </c>
      <c r="C43" s="9">
        <v>5</v>
      </c>
      <c r="D43" s="9">
        <v>4</v>
      </c>
      <c r="E43" s="9" t="s">
        <v>35</v>
      </c>
      <c r="F43" s="9">
        <v>-0.65</v>
      </c>
      <c r="G43" s="9">
        <v>0.34300000000000003</v>
      </c>
      <c r="H43" s="9" t="s">
        <v>35</v>
      </c>
      <c r="I43" s="9" t="s">
        <v>45</v>
      </c>
    </row>
    <row r="44" spans="1:11" ht="13.5" customHeight="1" x14ac:dyDescent="0.2">
      <c r="A44" s="9">
        <v>4</v>
      </c>
      <c r="B44" s="9">
        <v>8</v>
      </c>
      <c r="C44" s="9">
        <v>7</v>
      </c>
      <c r="D44" s="9">
        <v>7</v>
      </c>
      <c r="E44" s="9" t="s">
        <v>36</v>
      </c>
      <c r="F44" s="9">
        <v>3.55</v>
      </c>
      <c r="G44" s="9">
        <v>0.97209999999999996</v>
      </c>
      <c r="H44" s="9" t="s">
        <v>36</v>
      </c>
      <c r="I44" s="9" t="s">
        <v>45</v>
      </c>
    </row>
    <row r="45" spans="1:11" ht="13.5" customHeight="1" x14ac:dyDescent="0.2">
      <c r="A45" s="9">
        <v>5</v>
      </c>
      <c r="B45" s="9">
        <v>6</v>
      </c>
      <c r="C45" s="9">
        <v>6</v>
      </c>
      <c r="D45" s="9">
        <v>6</v>
      </c>
      <c r="E45" s="9" t="s">
        <v>36</v>
      </c>
      <c r="F45" s="9">
        <v>1.4</v>
      </c>
      <c r="G45" s="9">
        <v>0.80220000000000002</v>
      </c>
      <c r="H45" s="9" t="s">
        <v>36</v>
      </c>
      <c r="I45" s="9" t="s">
        <v>45</v>
      </c>
    </row>
    <row r="46" spans="1:11" ht="13.5" customHeight="1" x14ac:dyDescent="0.2">
      <c r="A46" s="9">
        <v>6</v>
      </c>
      <c r="B46" s="9">
        <v>3</v>
      </c>
      <c r="C46" s="9">
        <v>4</v>
      </c>
      <c r="D46" s="9">
        <v>3</v>
      </c>
      <c r="E46" s="9" t="s">
        <v>35</v>
      </c>
      <c r="F46" s="9">
        <v>-2.8</v>
      </c>
      <c r="G46" s="9">
        <v>5.7299999999999997E-2</v>
      </c>
      <c r="H46" s="9" t="s">
        <v>35</v>
      </c>
      <c r="I46" s="9" t="s">
        <v>45</v>
      </c>
    </row>
    <row r="47" spans="1:11" ht="15" customHeight="1" x14ac:dyDescent="0.2">
      <c r="A47" s="4" t="s">
        <v>46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9" spans="1:11" ht="15" customHeight="1" x14ac:dyDescent="0.2">
      <c r="A49" s="4" t="s">
        <v>47</v>
      </c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5.75" customHeight="1" x14ac:dyDescent="0.2">
      <c r="A50" s="7" t="s">
        <v>30</v>
      </c>
      <c r="B50" s="7" t="s">
        <v>31</v>
      </c>
      <c r="C50" s="7" t="s">
        <v>32</v>
      </c>
      <c r="D50" s="7" t="s">
        <v>33</v>
      </c>
      <c r="E50" s="7" t="s">
        <v>40</v>
      </c>
      <c r="F50" s="7" t="s">
        <v>41</v>
      </c>
      <c r="G50" s="7" t="s">
        <v>42</v>
      </c>
      <c r="H50" s="7" t="s">
        <v>43</v>
      </c>
      <c r="I50" s="7" t="s">
        <v>44</v>
      </c>
    </row>
    <row r="51" spans="1:11" ht="13.5" customHeight="1" x14ac:dyDescent="0.2">
      <c r="A51" s="9">
        <v>7</v>
      </c>
      <c r="B51" s="9">
        <v>9</v>
      </c>
      <c r="C51" s="9">
        <v>8</v>
      </c>
      <c r="D51" s="9">
        <v>5</v>
      </c>
      <c r="E51" s="9" t="s">
        <v>35</v>
      </c>
      <c r="F51" s="9">
        <v>3.8</v>
      </c>
      <c r="G51" s="9">
        <v>0.97809999999999997</v>
      </c>
      <c r="H51" s="9" t="s">
        <v>36</v>
      </c>
      <c r="I51" s="9" t="s">
        <v>48</v>
      </c>
    </row>
    <row r="52" spans="1:11" ht="13.5" customHeight="1" x14ac:dyDescent="0.2">
      <c r="A52" s="9">
        <v>8</v>
      </c>
      <c r="B52" s="9">
        <v>4</v>
      </c>
      <c r="C52" s="9">
        <v>5</v>
      </c>
      <c r="D52" s="9">
        <v>6</v>
      </c>
      <c r="E52" s="9" t="s">
        <v>36</v>
      </c>
      <c r="F52" s="9">
        <v>-0.3</v>
      </c>
      <c r="G52" s="9">
        <v>0.42559999999999998</v>
      </c>
      <c r="H52" s="9" t="s">
        <v>35</v>
      </c>
      <c r="I52" s="9" t="s">
        <v>48</v>
      </c>
    </row>
    <row r="53" spans="1:11" ht="13.5" customHeight="1" x14ac:dyDescent="0.2">
      <c r="A53" s="9">
        <v>9</v>
      </c>
      <c r="B53" s="9">
        <v>8</v>
      </c>
      <c r="C53" s="9">
        <v>9</v>
      </c>
      <c r="D53" s="9">
        <v>7</v>
      </c>
      <c r="E53" s="9" t="s">
        <v>36</v>
      </c>
      <c r="F53" s="9">
        <v>4.75</v>
      </c>
      <c r="G53" s="9">
        <v>0.99139999999999995</v>
      </c>
      <c r="H53" s="9" t="s">
        <v>36</v>
      </c>
      <c r="I53" s="9" t="s">
        <v>45</v>
      </c>
    </row>
    <row r="54" spans="1:11" ht="13.5" customHeight="1" x14ac:dyDescent="0.2">
      <c r="A54" s="9">
        <v>10</v>
      </c>
      <c r="B54" s="9">
        <v>5</v>
      </c>
      <c r="C54" s="9">
        <v>6</v>
      </c>
      <c r="D54" s="9">
        <v>5</v>
      </c>
      <c r="E54" s="9" t="s">
        <v>35</v>
      </c>
      <c r="F54" s="9">
        <v>0.4</v>
      </c>
      <c r="G54" s="9">
        <v>0.59870000000000001</v>
      </c>
      <c r="H54" s="9" t="s">
        <v>36</v>
      </c>
      <c r="I54" s="9" t="s">
        <v>48</v>
      </c>
    </row>
    <row r="55" spans="1:11" ht="13.5" customHeight="1" x14ac:dyDescent="0.2">
      <c r="A55" s="9">
        <v>11</v>
      </c>
      <c r="B55" s="9">
        <v>6</v>
      </c>
      <c r="C55" s="9">
        <v>7</v>
      </c>
      <c r="D55" s="9">
        <v>6</v>
      </c>
      <c r="E55" s="9" t="s">
        <v>36</v>
      </c>
      <c r="F55" s="9">
        <v>2</v>
      </c>
      <c r="G55" s="9">
        <v>0.88080000000000003</v>
      </c>
      <c r="H55" s="9" t="s">
        <v>36</v>
      </c>
      <c r="I55" s="9" t="s">
        <v>45</v>
      </c>
    </row>
    <row r="56" spans="1:11" ht="13.5" customHeight="1" x14ac:dyDescent="0.2">
      <c r="A56" s="9">
        <v>12</v>
      </c>
      <c r="B56" s="9">
        <v>7</v>
      </c>
      <c r="C56" s="9">
        <v>7</v>
      </c>
      <c r="D56" s="9">
        <v>4</v>
      </c>
      <c r="E56" s="9" t="s">
        <v>35</v>
      </c>
      <c r="F56" s="9">
        <v>1.65</v>
      </c>
      <c r="G56" s="9">
        <v>0.83889999999999998</v>
      </c>
      <c r="H56" s="9" t="s">
        <v>36</v>
      </c>
      <c r="I56" s="9" t="s">
        <v>48</v>
      </c>
    </row>
    <row r="57" spans="1:11" ht="15" customHeight="1" x14ac:dyDescent="0.2">
      <c r="A57" s="4" t="s">
        <v>49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9" spans="1:11" ht="15" customHeight="1" x14ac:dyDescent="0.2">
      <c r="A59" s="4" t="s">
        <v>50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5.75" customHeight="1" x14ac:dyDescent="0.2">
      <c r="A60" s="7" t="s">
        <v>30</v>
      </c>
      <c r="B60" s="7" t="s">
        <v>31</v>
      </c>
      <c r="C60" s="7" t="s">
        <v>32</v>
      </c>
      <c r="D60" s="7" t="s">
        <v>33</v>
      </c>
      <c r="E60" s="7" t="s">
        <v>40</v>
      </c>
      <c r="F60" s="7" t="s">
        <v>41</v>
      </c>
      <c r="G60" s="7" t="s">
        <v>42</v>
      </c>
      <c r="H60" s="7" t="s">
        <v>43</v>
      </c>
      <c r="I60" s="7" t="s">
        <v>44</v>
      </c>
    </row>
    <row r="61" spans="1:11" ht="13.5" customHeight="1" x14ac:dyDescent="0.2">
      <c r="A61" s="9">
        <v>13</v>
      </c>
      <c r="B61" s="9">
        <v>6</v>
      </c>
      <c r="C61" s="9">
        <v>5</v>
      </c>
      <c r="D61" s="9">
        <v>5</v>
      </c>
      <c r="E61" s="9" t="s">
        <v>35</v>
      </c>
      <c r="F61" s="9">
        <v>0.35</v>
      </c>
      <c r="G61" s="9">
        <v>0.58660000000000001</v>
      </c>
      <c r="H61" s="9" t="s">
        <v>36</v>
      </c>
      <c r="I61" s="9" t="s">
        <v>48</v>
      </c>
    </row>
    <row r="62" spans="1:11" ht="13.5" customHeight="1" x14ac:dyDescent="0.2">
      <c r="A62" s="9">
        <v>14</v>
      </c>
      <c r="B62" s="9">
        <v>4</v>
      </c>
      <c r="C62" s="9">
        <v>6</v>
      </c>
      <c r="D62" s="9">
        <v>7</v>
      </c>
      <c r="E62" s="9" t="s">
        <v>36</v>
      </c>
      <c r="F62" s="9">
        <v>0.75</v>
      </c>
      <c r="G62" s="9">
        <v>0.67920000000000003</v>
      </c>
      <c r="H62" s="9" t="s">
        <v>36</v>
      </c>
      <c r="I62" s="9" t="s">
        <v>45</v>
      </c>
    </row>
    <row r="63" spans="1:11" ht="13.5" customHeight="1" x14ac:dyDescent="0.2">
      <c r="A63" s="9">
        <v>15</v>
      </c>
      <c r="B63" s="9">
        <v>9</v>
      </c>
      <c r="C63" s="9">
        <v>9</v>
      </c>
      <c r="D63" s="9">
        <v>8</v>
      </c>
      <c r="E63" s="9" t="s">
        <v>36</v>
      </c>
      <c r="F63" s="9">
        <v>5.75</v>
      </c>
      <c r="G63" s="9">
        <v>0.99680000000000002</v>
      </c>
      <c r="H63" s="9" t="s">
        <v>36</v>
      </c>
      <c r="I63" s="9" t="s">
        <v>45</v>
      </c>
    </row>
    <row r="64" spans="1:11" ht="13.5" customHeight="1" x14ac:dyDescent="0.2">
      <c r="A64" s="9">
        <v>16</v>
      </c>
      <c r="B64" s="9">
        <v>2</v>
      </c>
      <c r="C64" s="9">
        <v>3</v>
      </c>
      <c r="D64" s="9">
        <v>2</v>
      </c>
      <c r="E64" s="9" t="s">
        <v>35</v>
      </c>
      <c r="F64" s="9">
        <v>-4.4000000000000004</v>
      </c>
      <c r="G64" s="9">
        <v>1.21E-2</v>
      </c>
      <c r="H64" s="9" t="s">
        <v>35</v>
      </c>
      <c r="I64" s="9" t="s">
        <v>45</v>
      </c>
    </row>
    <row r="65" spans="1:11" ht="13.5" customHeight="1" x14ac:dyDescent="0.2">
      <c r="A65" s="9">
        <v>17</v>
      </c>
      <c r="B65" s="9">
        <v>8</v>
      </c>
      <c r="C65" s="9">
        <v>8</v>
      </c>
      <c r="D65" s="9">
        <v>7</v>
      </c>
      <c r="E65" s="9" t="s">
        <v>36</v>
      </c>
      <c r="F65" s="9">
        <v>4.1500000000000004</v>
      </c>
      <c r="G65" s="9">
        <v>0.98450000000000004</v>
      </c>
      <c r="H65" s="9" t="s">
        <v>36</v>
      </c>
      <c r="I65" s="9" t="s">
        <v>45</v>
      </c>
    </row>
    <row r="66" spans="1:11" ht="13.5" customHeight="1" x14ac:dyDescent="0.2">
      <c r="A66" s="9">
        <v>18</v>
      </c>
      <c r="B66" s="9">
        <v>5</v>
      </c>
      <c r="C66" s="9">
        <v>5</v>
      </c>
      <c r="D66" s="9">
        <v>6</v>
      </c>
      <c r="E66" s="9" t="s">
        <v>36</v>
      </c>
      <c r="F66" s="9">
        <v>0.25</v>
      </c>
      <c r="G66" s="9">
        <v>0.56220000000000003</v>
      </c>
      <c r="H66" s="9" t="s">
        <v>36</v>
      </c>
      <c r="I66" s="9" t="s">
        <v>45</v>
      </c>
    </row>
    <row r="67" spans="1:11" ht="15" customHeight="1" x14ac:dyDescent="0.2">
      <c r="A67" s="4" t="s">
        <v>51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9" spans="1:11" ht="15" customHeight="1" x14ac:dyDescent="0.2">
      <c r="A69" s="4" t="s">
        <v>52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5.75" customHeight="1" x14ac:dyDescent="0.2">
      <c r="A70" s="7" t="s">
        <v>30</v>
      </c>
      <c r="B70" s="7" t="s">
        <v>31</v>
      </c>
      <c r="C70" s="7" t="s">
        <v>32</v>
      </c>
      <c r="D70" s="7" t="s">
        <v>33</v>
      </c>
      <c r="E70" s="7" t="s">
        <v>40</v>
      </c>
      <c r="F70" s="7" t="s">
        <v>41</v>
      </c>
      <c r="G70" s="7" t="s">
        <v>42</v>
      </c>
      <c r="H70" s="7" t="s">
        <v>43</v>
      </c>
      <c r="I70" s="7" t="s">
        <v>44</v>
      </c>
    </row>
    <row r="71" spans="1:11" ht="13.5" customHeight="1" x14ac:dyDescent="0.2">
      <c r="A71" s="9">
        <v>19</v>
      </c>
      <c r="B71" s="9">
        <v>7</v>
      </c>
      <c r="C71" s="9">
        <v>6</v>
      </c>
      <c r="D71" s="9">
        <v>6</v>
      </c>
      <c r="E71" s="9" t="s">
        <v>36</v>
      </c>
      <c r="F71" s="9">
        <v>1.95</v>
      </c>
      <c r="G71" s="9">
        <v>0.87539999999999996</v>
      </c>
      <c r="H71" s="9" t="s">
        <v>36</v>
      </c>
      <c r="I71" s="9" t="s">
        <v>45</v>
      </c>
    </row>
    <row r="72" spans="1:11" ht="13.5" customHeight="1" x14ac:dyDescent="0.2">
      <c r="A72" s="9">
        <v>20</v>
      </c>
      <c r="B72" s="9">
        <v>6</v>
      </c>
      <c r="C72" s="9">
        <v>7</v>
      </c>
      <c r="D72" s="9">
        <v>5</v>
      </c>
      <c r="E72" s="9" t="s">
        <v>35</v>
      </c>
      <c r="F72" s="9">
        <v>1.55</v>
      </c>
      <c r="G72" s="9">
        <v>0.82489999999999997</v>
      </c>
      <c r="H72" s="9" t="s">
        <v>36</v>
      </c>
      <c r="I72" s="9" t="s">
        <v>48</v>
      </c>
    </row>
    <row r="73" spans="1:11" ht="13.5" customHeight="1" x14ac:dyDescent="0.2">
      <c r="A73" s="9">
        <v>21</v>
      </c>
      <c r="B73" s="9">
        <v>3</v>
      </c>
      <c r="C73" s="9">
        <v>4</v>
      </c>
      <c r="D73" s="9">
        <v>3</v>
      </c>
      <c r="E73" s="9" t="s">
        <v>35</v>
      </c>
      <c r="F73" s="9">
        <v>-2.8</v>
      </c>
      <c r="G73" s="9">
        <v>5.7299999999999997E-2</v>
      </c>
      <c r="H73" s="9" t="s">
        <v>35</v>
      </c>
      <c r="I73" s="9" t="s">
        <v>45</v>
      </c>
    </row>
    <row r="74" spans="1:11" ht="13.5" customHeight="1" x14ac:dyDescent="0.2">
      <c r="A74" s="9">
        <v>22</v>
      </c>
      <c r="B74" s="9">
        <v>4</v>
      </c>
      <c r="C74" s="9">
        <v>5</v>
      </c>
      <c r="D74" s="9">
        <v>4</v>
      </c>
      <c r="E74" s="9" t="s">
        <v>35</v>
      </c>
      <c r="F74" s="9">
        <v>-1.2</v>
      </c>
      <c r="G74" s="9">
        <v>0.23150000000000001</v>
      </c>
      <c r="H74" s="9" t="s">
        <v>35</v>
      </c>
      <c r="I74" s="9" t="s">
        <v>45</v>
      </c>
    </row>
    <row r="75" spans="1:11" ht="13.5" customHeight="1" x14ac:dyDescent="0.2">
      <c r="A75" s="9">
        <v>23</v>
      </c>
      <c r="B75" s="9">
        <v>8</v>
      </c>
      <c r="C75" s="9">
        <v>7</v>
      </c>
      <c r="D75" s="9">
        <v>7</v>
      </c>
      <c r="E75" s="9" t="s">
        <v>36</v>
      </c>
      <c r="F75" s="9">
        <v>3.55</v>
      </c>
      <c r="G75" s="9">
        <v>0.97209999999999996</v>
      </c>
      <c r="H75" s="9" t="s">
        <v>36</v>
      </c>
      <c r="I75" s="9" t="s">
        <v>45</v>
      </c>
    </row>
    <row r="76" spans="1:11" ht="13.5" customHeight="1" x14ac:dyDescent="0.2">
      <c r="A76" s="9">
        <v>24</v>
      </c>
      <c r="B76" s="9">
        <v>2</v>
      </c>
      <c r="C76" s="9">
        <v>2</v>
      </c>
      <c r="D76" s="9">
        <v>5</v>
      </c>
      <c r="E76" s="9" t="s">
        <v>36</v>
      </c>
      <c r="F76" s="9">
        <v>-3.65</v>
      </c>
      <c r="G76" s="9">
        <v>2.53E-2</v>
      </c>
      <c r="H76" s="9" t="s">
        <v>35</v>
      </c>
      <c r="I76" s="9" t="s">
        <v>48</v>
      </c>
    </row>
    <row r="77" spans="1:11" ht="15" customHeight="1" x14ac:dyDescent="0.2">
      <c r="A77" s="4" t="s">
        <v>53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9" spans="1:11" ht="15" customHeight="1" x14ac:dyDescent="0.2">
      <c r="A79" s="4" t="s">
        <v>54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5.75" customHeight="1" x14ac:dyDescent="0.2">
      <c r="A80" s="7" t="s">
        <v>30</v>
      </c>
      <c r="B80" s="7" t="s">
        <v>31</v>
      </c>
      <c r="C80" s="7" t="s">
        <v>32</v>
      </c>
      <c r="D80" s="7" t="s">
        <v>33</v>
      </c>
      <c r="E80" s="7" t="s">
        <v>40</v>
      </c>
      <c r="F80" s="7" t="s">
        <v>41</v>
      </c>
      <c r="G80" s="7" t="s">
        <v>42</v>
      </c>
      <c r="H80" s="7" t="s">
        <v>43</v>
      </c>
      <c r="I80" s="7" t="s">
        <v>44</v>
      </c>
    </row>
    <row r="81" spans="1:11" ht="13.5" customHeight="1" x14ac:dyDescent="0.2">
      <c r="A81" s="9">
        <v>25</v>
      </c>
      <c r="B81" s="9">
        <v>9</v>
      </c>
      <c r="C81" s="9">
        <v>8</v>
      </c>
      <c r="D81" s="9">
        <v>9</v>
      </c>
      <c r="E81" s="9" t="s">
        <v>36</v>
      </c>
      <c r="F81" s="9">
        <v>5.6</v>
      </c>
      <c r="G81" s="9">
        <v>0.99629999999999996</v>
      </c>
      <c r="H81" s="9" t="s">
        <v>36</v>
      </c>
      <c r="I81" s="9" t="s">
        <v>45</v>
      </c>
    </row>
    <row r="82" spans="1:11" ht="13.5" customHeight="1" x14ac:dyDescent="0.2">
      <c r="A82" s="9">
        <v>26</v>
      </c>
      <c r="B82" s="9">
        <v>5</v>
      </c>
      <c r="C82" s="9">
        <v>6</v>
      </c>
      <c r="D82" s="9">
        <v>5</v>
      </c>
      <c r="E82" s="9" t="s">
        <v>35</v>
      </c>
      <c r="F82" s="9">
        <v>0.4</v>
      </c>
      <c r="G82" s="9">
        <v>0.59870000000000001</v>
      </c>
      <c r="H82" s="9" t="s">
        <v>36</v>
      </c>
      <c r="I82" s="9" t="s">
        <v>48</v>
      </c>
    </row>
    <row r="83" spans="1:11" ht="13.5" customHeight="1" x14ac:dyDescent="0.2">
      <c r="A83" s="9">
        <v>27</v>
      </c>
      <c r="B83" s="9">
        <v>7</v>
      </c>
      <c r="C83" s="9">
        <v>8</v>
      </c>
      <c r="D83" s="9">
        <v>6</v>
      </c>
      <c r="E83" s="9" t="s">
        <v>36</v>
      </c>
      <c r="F83" s="9">
        <v>3.15</v>
      </c>
      <c r="G83" s="9">
        <v>0.95889999999999997</v>
      </c>
      <c r="H83" s="9" t="s">
        <v>36</v>
      </c>
      <c r="I83" s="9" t="s">
        <v>45</v>
      </c>
    </row>
    <row r="84" spans="1:11" ht="13.5" customHeight="1" x14ac:dyDescent="0.2">
      <c r="A84" s="9">
        <v>28</v>
      </c>
      <c r="B84" s="9">
        <v>6</v>
      </c>
      <c r="C84" s="9">
        <v>6</v>
      </c>
      <c r="D84" s="9">
        <v>6</v>
      </c>
      <c r="E84" s="9" t="s">
        <v>36</v>
      </c>
      <c r="F84" s="9">
        <v>1.4</v>
      </c>
      <c r="G84" s="9">
        <v>0.80220000000000002</v>
      </c>
      <c r="H84" s="9" t="s">
        <v>36</v>
      </c>
      <c r="I84" s="9" t="s">
        <v>45</v>
      </c>
    </row>
    <row r="85" spans="1:11" ht="13.5" customHeight="1" x14ac:dyDescent="0.2">
      <c r="A85" s="9">
        <v>29</v>
      </c>
      <c r="B85" s="9">
        <v>4</v>
      </c>
      <c r="C85" s="9">
        <v>5</v>
      </c>
      <c r="D85" s="9">
        <v>4</v>
      </c>
      <c r="E85" s="9" t="s">
        <v>35</v>
      </c>
      <c r="F85" s="9">
        <v>-1.2</v>
      </c>
      <c r="G85" s="9">
        <v>0.23150000000000001</v>
      </c>
      <c r="H85" s="9" t="s">
        <v>35</v>
      </c>
      <c r="I85" s="9" t="s">
        <v>45</v>
      </c>
    </row>
    <row r="86" spans="1:11" ht="13.5" customHeight="1" x14ac:dyDescent="0.2">
      <c r="A86" s="9">
        <v>30</v>
      </c>
      <c r="B86" s="9">
        <v>8</v>
      </c>
      <c r="C86" s="9">
        <v>9</v>
      </c>
      <c r="D86" s="9">
        <v>6</v>
      </c>
      <c r="E86" s="9" t="s">
        <v>36</v>
      </c>
      <c r="F86" s="9">
        <v>4.3</v>
      </c>
      <c r="G86" s="9">
        <v>0.98660000000000003</v>
      </c>
      <c r="H86" s="9" t="s">
        <v>36</v>
      </c>
      <c r="I86" s="9" t="s">
        <v>45</v>
      </c>
    </row>
    <row r="87" spans="1:11" ht="15" customHeight="1" x14ac:dyDescent="0.2">
      <c r="A87" s="4" t="s">
        <v>51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9" spans="1:11" ht="15" customHeight="1" x14ac:dyDescent="0.2">
      <c r="A89" s="4" t="s">
        <v>55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5.75" customHeight="1" x14ac:dyDescent="0.2">
      <c r="A90" s="7" t="s">
        <v>34</v>
      </c>
      <c r="B90" s="7" t="s">
        <v>56</v>
      </c>
      <c r="C90" s="7" t="s">
        <v>57</v>
      </c>
    </row>
    <row r="91" spans="1:11" ht="13.5" customHeight="1" x14ac:dyDescent="0.2">
      <c r="A91" s="9">
        <v>1</v>
      </c>
      <c r="B91" s="9" t="s">
        <v>58</v>
      </c>
      <c r="C91" s="9">
        <v>100</v>
      </c>
    </row>
    <row r="92" spans="1:11" ht="13.5" customHeight="1" x14ac:dyDescent="0.2">
      <c r="A92" s="9">
        <v>2</v>
      </c>
      <c r="B92" s="9" t="s">
        <v>59</v>
      </c>
      <c r="C92" s="9">
        <v>33.299999999999997</v>
      </c>
    </row>
    <row r="93" spans="1:11" ht="13.5" customHeight="1" x14ac:dyDescent="0.2">
      <c r="A93" s="9">
        <v>3</v>
      </c>
      <c r="B93" s="9" t="s">
        <v>60</v>
      </c>
      <c r="C93" s="9">
        <v>83.3</v>
      </c>
    </row>
    <row r="94" spans="1:11" ht="13.5" customHeight="1" x14ac:dyDescent="0.2">
      <c r="A94" s="9">
        <v>4</v>
      </c>
      <c r="B94" s="9" t="s">
        <v>61</v>
      </c>
      <c r="C94" s="9">
        <v>66.7</v>
      </c>
    </row>
    <row r="95" spans="1:11" ht="13.5" customHeight="1" x14ac:dyDescent="0.2">
      <c r="A95" s="9">
        <v>5</v>
      </c>
      <c r="B95" s="9" t="s">
        <v>62</v>
      </c>
      <c r="C95" s="9">
        <v>83.3</v>
      </c>
    </row>
    <row r="96" spans="1:11" ht="15" customHeight="1" x14ac:dyDescent="0.2">
      <c r="A96" s="10" t="s">
        <v>63</v>
      </c>
      <c r="C96" s="11">
        <v>73.3</v>
      </c>
    </row>
  </sheetData>
  <mergeCells count="15">
    <mergeCell ref="A69:K69"/>
    <mergeCell ref="A77:K77"/>
    <mergeCell ref="A79:K79"/>
    <mergeCell ref="A87:K87"/>
    <mergeCell ref="A89:K89"/>
    <mergeCell ref="A47:K47"/>
    <mergeCell ref="A49:K49"/>
    <mergeCell ref="A57:K57"/>
    <mergeCell ref="A59:K59"/>
    <mergeCell ref="A67:K67"/>
    <mergeCell ref="A1:K1"/>
    <mergeCell ref="A3:K3"/>
    <mergeCell ref="A36:K36"/>
    <mergeCell ref="A37:K37"/>
    <mergeCell ref="A39:K3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opLeftCell="A2" zoomScaleNormal="100" workbookViewId="0">
      <selection activeCell="D12" sqref="D12"/>
    </sheetView>
  </sheetViews>
  <sheetFormatPr baseColWidth="10" defaultColWidth="8.6640625" defaultRowHeight="15" x14ac:dyDescent="0.2"/>
  <cols>
    <col min="1" max="1" width="32" customWidth="1"/>
    <col min="2" max="3" width="22" customWidth="1"/>
    <col min="4" max="4" width="18" customWidth="1"/>
  </cols>
  <sheetData>
    <row r="1" spans="1:4" ht="19.5" customHeight="1" x14ac:dyDescent="0.2">
      <c r="A1" s="5" t="s">
        <v>64</v>
      </c>
      <c r="B1" s="5"/>
      <c r="C1" s="5"/>
      <c r="D1" s="5"/>
    </row>
    <row r="3" spans="1:4" ht="15.75" customHeight="1" x14ac:dyDescent="0.2">
      <c r="A3" s="6" t="s">
        <v>1</v>
      </c>
      <c r="B3" s="12"/>
    </row>
    <row r="4" spans="1:4" ht="15" customHeight="1" x14ac:dyDescent="0.2">
      <c r="A4" s="8" t="s">
        <v>65</v>
      </c>
      <c r="B4" s="13">
        <v>0.6</v>
      </c>
    </row>
    <row r="5" spans="1:4" ht="15" customHeight="1" x14ac:dyDescent="0.2">
      <c r="A5" s="8" t="s">
        <v>66</v>
      </c>
      <c r="B5" s="13">
        <f>1-B4</f>
        <v>0.4</v>
      </c>
    </row>
    <row r="6" spans="1:4" ht="15" customHeight="1" x14ac:dyDescent="0.2">
      <c r="A6" s="8" t="s">
        <v>67</v>
      </c>
      <c r="B6" s="13">
        <v>0.9</v>
      </c>
    </row>
    <row r="7" spans="1:4" ht="15" customHeight="1" x14ac:dyDescent="0.2">
      <c r="A7" s="8" t="s">
        <v>68</v>
      </c>
      <c r="B7" s="13">
        <v>0.6</v>
      </c>
    </row>
    <row r="9" spans="1:4" ht="15.75" customHeight="1" x14ac:dyDescent="0.2">
      <c r="A9" s="4" t="s">
        <v>69</v>
      </c>
      <c r="B9" s="4"/>
      <c r="C9" s="4"/>
      <c r="D9" s="4"/>
    </row>
    <row r="10" spans="1:4" ht="13.5" customHeight="1" x14ac:dyDescent="0.2">
      <c r="A10" s="8" t="s">
        <v>70</v>
      </c>
    </row>
    <row r="11" spans="1:4" ht="15" customHeight="1" x14ac:dyDescent="0.2">
      <c r="A11" s="8" t="s">
        <v>71</v>
      </c>
      <c r="B11" s="14">
        <f>B6</f>
        <v>0.9</v>
      </c>
    </row>
    <row r="13" spans="1:4" ht="15.75" customHeight="1" x14ac:dyDescent="0.2">
      <c r="A13" s="4" t="s">
        <v>72</v>
      </c>
      <c r="B13" s="4"/>
      <c r="C13" s="4"/>
      <c r="D13" s="4"/>
    </row>
    <row r="14" spans="1:4" ht="15.75" customHeight="1" x14ac:dyDescent="0.2">
      <c r="A14" s="6" t="s">
        <v>7</v>
      </c>
      <c r="B14" s="6" t="s">
        <v>8</v>
      </c>
      <c r="C14" s="6" t="s">
        <v>10</v>
      </c>
      <c r="D14" s="7" t="s">
        <v>2</v>
      </c>
    </row>
    <row r="15" spans="1:4" ht="13.5" customHeight="1" x14ac:dyDescent="0.2">
      <c r="A15" s="10" t="s">
        <v>73</v>
      </c>
      <c r="B15" s="3" t="s">
        <v>74</v>
      </c>
      <c r="C15" s="3"/>
      <c r="D15" s="15">
        <f>B6*B4+B7*B5</f>
        <v>0.78</v>
      </c>
    </row>
    <row r="16" spans="1:4" ht="13.5" customHeight="1" x14ac:dyDescent="0.2">
      <c r="A16" s="8"/>
      <c r="B16" s="29" t="s">
        <v>75</v>
      </c>
      <c r="C16" s="3"/>
      <c r="D16" s="3"/>
    </row>
    <row r="17" spans="1:4" ht="13.5" customHeight="1" x14ac:dyDescent="0.2">
      <c r="A17" s="10" t="s">
        <v>76</v>
      </c>
      <c r="B17" s="3" t="s">
        <v>77</v>
      </c>
      <c r="C17" s="3"/>
      <c r="D17" s="15">
        <f>B6*B4</f>
        <v>0.54</v>
      </c>
    </row>
    <row r="18" spans="1:4" ht="15" customHeight="1" x14ac:dyDescent="0.2">
      <c r="A18" s="10" t="s">
        <v>78</v>
      </c>
      <c r="B18" s="3" t="s">
        <v>79</v>
      </c>
      <c r="C18" s="3"/>
      <c r="D18" s="14">
        <f>D17/D15</f>
        <v>0.69230769230769229</v>
      </c>
    </row>
    <row r="25" spans="1:4" x14ac:dyDescent="0.2">
      <c r="B25" t="s">
        <v>128</v>
      </c>
    </row>
  </sheetData>
  <mergeCells count="7">
    <mergeCell ref="B17:C17"/>
    <mergeCell ref="B18:C18"/>
    <mergeCell ref="A1:D1"/>
    <mergeCell ref="A9:D9"/>
    <mergeCell ref="A13:D13"/>
    <mergeCell ref="B15:C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Normal="100" workbookViewId="0">
      <selection activeCell="A20" sqref="A20:E20"/>
    </sheetView>
  </sheetViews>
  <sheetFormatPr baseColWidth="10" defaultColWidth="8.6640625" defaultRowHeight="15" x14ac:dyDescent="0.2"/>
  <cols>
    <col min="1" max="2" width="8" customWidth="1"/>
    <col min="3" max="3" width="14" customWidth="1"/>
    <col min="4" max="4" width="16" customWidth="1"/>
    <col min="5" max="5" width="12" customWidth="1"/>
    <col min="6" max="6" width="22" customWidth="1"/>
    <col min="7" max="8" width="16" customWidth="1"/>
  </cols>
  <sheetData>
    <row r="1" spans="1:8" ht="19.5" customHeight="1" x14ac:dyDescent="0.2">
      <c r="A1" s="5" t="s">
        <v>80</v>
      </c>
      <c r="B1" s="5"/>
      <c r="C1" s="5"/>
      <c r="D1" s="5"/>
      <c r="E1" s="5"/>
      <c r="F1" s="5"/>
      <c r="G1" s="5"/>
      <c r="H1" s="5"/>
    </row>
    <row r="3" spans="1:8" ht="15.75" customHeight="1" x14ac:dyDescent="0.2">
      <c r="A3" s="7" t="s">
        <v>81</v>
      </c>
      <c r="B3" s="7" t="s">
        <v>82</v>
      </c>
    </row>
    <row r="4" spans="1:8" ht="13.5" customHeight="1" x14ac:dyDescent="0.2">
      <c r="A4" s="9">
        <v>1</v>
      </c>
      <c r="B4" s="9">
        <v>2</v>
      </c>
    </row>
    <row r="5" spans="1:8" ht="13.5" customHeight="1" x14ac:dyDescent="0.2">
      <c r="A5" s="9">
        <v>2</v>
      </c>
      <c r="B5" s="9">
        <v>4</v>
      </c>
    </row>
    <row r="6" spans="1:8" ht="13.5" customHeight="1" x14ac:dyDescent="0.2">
      <c r="A6" s="9">
        <v>3</v>
      </c>
      <c r="B6" s="9">
        <v>6</v>
      </c>
    </row>
    <row r="7" spans="1:8" ht="13.5" customHeight="1" x14ac:dyDescent="0.2">
      <c r="A7" s="9">
        <v>4</v>
      </c>
      <c r="B7" s="9">
        <v>8</v>
      </c>
    </row>
    <row r="9" spans="1:8" ht="15" customHeight="1" x14ac:dyDescent="0.2">
      <c r="A9" s="10" t="s">
        <v>83</v>
      </c>
      <c r="B9" s="10" t="s">
        <v>84</v>
      </c>
    </row>
    <row r="11" spans="1:8" ht="15" customHeight="1" x14ac:dyDescent="0.2">
      <c r="A11" s="10" t="s">
        <v>85</v>
      </c>
      <c r="B11" s="3" t="s">
        <v>86</v>
      </c>
      <c r="C11" s="3"/>
      <c r="D11" s="3"/>
      <c r="E11" s="3"/>
      <c r="F11" s="3"/>
      <c r="G11" s="3"/>
      <c r="H11" s="3"/>
    </row>
    <row r="13" spans="1:8" ht="15.75" customHeight="1" x14ac:dyDescent="0.2">
      <c r="A13" s="7" t="s">
        <v>87</v>
      </c>
      <c r="B13" s="7" t="s">
        <v>88</v>
      </c>
      <c r="C13" s="7" t="s">
        <v>89</v>
      </c>
      <c r="D13" s="7" t="s">
        <v>90</v>
      </c>
      <c r="E13" s="7" t="s">
        <v>91</v>
      </c>
      <c r="F13" s="7" t="s">
        <v>92</v>
      </c>
      <c r="G13" s="7" t="s">
        <v>93</v>
      </c>
    </row>
    <row r="14" spans="1:8" ht="13.5" customHeight="1" x14ac:dyDescent="0.2">
      <c r="A14" s="9">
        <v>1</v>
      </c>
      <c r="B14" s="9">
        <v>2</v>
      </c>
      <c r="C14" s="9">
        <v>2</v>
      </c>
      <c r="D14" s="9">
        <v>2</v>
      </c>
      <c r="E14" s="9">
        <v>4</v>
      </c>
      <c r="F14" s="9">
        <v>5.3990999999999997E-2</v>
      </c>
      <c r="G14" s="9">
        <v>0.10798199999999999</v>
      </c>
    </row>
    <row r="15" spans="1:8" ht="13.5" customHeight="1" x14ac:dyDescent="0.2">
      <c r="A15" s="9">
        <v>2</v>
      </c>
      <c r="B15" s="9">
        <v>4</v>
      </c>
      <c r="C15" s="9">
        <v>1</v>
      </c>
      <c r="D15" s="9">
        <v>1</v>
      </c>
      <c r="E15" s="9">
        <v>1</v>
      </c>
      <c r="F15" s="9">
        <v>0.24197099999999999</v>
      </c>
      <c r="G15" s="9">
        <v>0.96788300000000005</v>
      </c>
    </row>
    <row r="16" spans="1:8" ht="13.5" customHeight="1" x14ac:dyDescent="0.2">
      <c r="A16" s="9">
        <v>3</v>
      </c>
      <c r="B16" s="9">
        <v>6</v>
      </c>
      <c r="C16" s="9">
        <v>0</v>
      </c>
      <c r="D16" s="9">
        <v>0</v>
      </c>
      <c r="E16" s="9">
        <v>0</v>
      </c>
      <c r="F16" s="9">
        <v>0.39894200000000002</v>
      </c>
      <c r="G16" s="9">
        <v>2.3936540000000002</v>
      </c>
    </row>
    <row r="17" spans="1:8" ht="13.5" customHeight="1" x14ac:dyDescent="0.2">
      <c r="A17" s="9">
        <v>4</v>
      </c>
      <c r="B17" s="9">
        <v>8</v>
      </c>
      <c r="C17" s="9">
        <v>-1</v>
      </c>
      <c r="D17" s="9">
        <v>-1</v>
      </c>
      <c r="E17" s="9">
        <v>1</v>
      </c>
      <c r="F17" s="9">
        <v>0.24197099999999999</v>
      </c>
      <c r="G17" s="9">
        <v>1.9357660000000001</v>
      </c>
    </row>
    <row r="18" spans="1:8" ht="15" customHeight="1" x14ac:dyDescent="0.2">
      <c r="A18" s="2" t="s">
        <v>94</v>
      </c>
      <c r="B18" s="2"/>
      <c r="C18" s="2"/>
      <c r="D18" s="2"/>
      <c r="E18" s="2"/>
      <c r="F18" s="16">
        <f>SUM(F14:F17)</f>
        <v>0.9368749999999999</v>
      </c>
      <c r="G18" s="16">
        <f>SUM(G14:G17)</f>
        <v>5.4052850000000001</v>
      </c>
    </row>
    <row r="20" spans="1:8" ht="15.75" customHeight="1" x14ac:dyDescent="0.2">
      <c r="A20" s="4" t="s">
        <v>95</v>
      </c>
      <c r="B20" s="4"/>
      <c r="C20" s="4"/>
      <c r="D20" s="4"/>
      <c r="E20" s="4"/>
      <c r="F20" s="1">
        <f>G18/F18</f>
        <v>5.7694836557705145</v>
      </c>
      <c r="G20" s="1"/>
      <c r="H20" s="1"/>
    </row>
  </sheetData>
  <mergeCells count="5">
    <mergeCell ref="A1:H1"/>
    <mergeCell ref="B11:H11"/>
    <mergeCell ref="A18:E18"/>
    <mergeCell ref="A20:E20"/>
    <mergeCell ref="F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tabSelected="1" topLeftCell="A11" zoomScale="125" zoomScaleNormal="100" workbookViewId="0">
      <selection activeCell="H13" sqref="H13"/>
    </sheetView>
  </sheetViews>
  <sheetFormatPr baseColWidth="10" defaultColWidth="8.6640625" defaultRowHeight="15" x14ac:dyDescent="0.2"/>
  <cols>
    <col min="1" max="9" width="14" customWidth="1"/>
  </cols>
  <sheetData>
    <row r="1" spans="1:9" ht="19.5" customHeight="1" x14ac:dyDescent="0.2">
      <c r="A1" s="5" t="s">
        <v>96</v>
      </c>
      <c r="B1" s="5"/>
      <c r="C1" s="5"/>
      <c r="D1" s="5"/>
      <c r="E1" s="5"/>
      <c r="F1" s="5"/>
      <c r="G1" s="5"/>
      <c r="H1" s="5"/>
      <c r="I1" s="5"/>
    </row>
    <row r="3" spans="1:9" ht="15" customHeight="1" x14ac:dyDescent="0.2">
      <c r="A3" s="10" t="s">
        <v>97</v>
      </c>
    </row>
    <row r="4" spans="1:9" ht="15.75" customHeight="1" x14ac:dyDescent="0.2">
      <c r="A4" s="6"/>
      <c r="B4" s="7" t="s">
        <v>98</v>
      </c>
      <c r="C4" s="7" t="s">
        <v>99</v>
      </c>
      <c r="D4" s="7" t="s">
        <v>100</v>
      </c>
    </row>
    <row r="5" spans="1:9" ht="13.5" customHeight="1" x14ac:dyDescent="0.2">
      <c r="A5" s="10" t="s">
        <v>101</v>
      </c>
      <c r="B5" s="9">
        <v>4</v>
      </c>
      <c r="C5" s="9">
        <v>3</v>
      </c>
      <c r="D5" s="9">
        <v>6</v>
      </c>
    </row>
    <row r="6" spans="1:9" ht="13.5" customHeight="1" x14ac:dyDescent="0.2">
      <c r="A6" s="10" t="s">
        <v>102</v>
      </c>
      <c r="B6" s="9">
        <v>10</v>
      </c>
      <c r="C6" s="9">
        <v>2</v>
      </c>
      <c r="D6" s="9">
        <v>4</v>
      </c>
    </row>
    <row r="7" spans="1:9" ht="13.5" customHeight="1" x14ac:dyDescent="0.2">
      <c r="A7" s="10" t="s">
        <v>103</v>
      </c>
      <c r="B7" s="9">
        <v>16</v>
      </c>
      <c r="C7" s="9">
        <v>8</v>
      </c>
      <c r="D7" s="9">
        <v>16</v>
      </c>
    </row>
    <row r="9" spans="1:9" ht="15" customHeight="1" x14ac:dyDescent="0.2">
      <c r="A9" s="10" t="s">
        <v>104</v>
      </c>
      <c r="B9" s="18">
        <f>AVERAGE(B5:B7)</f>
        <v>10</v>
      </c>
      <c r="C9" s="18">
        <f>AVERAGE(C5:C7)</f>
        <v>4.333333333333333</v>
      </c>
      <c r="D9" s="18">
        <f>AVERAGE(D5:D7)</f>
        <v>8.6666666666666661</v>
      </c>
    </row>
    <row r="10" spans="1:9" ht="15" customHeight="1" x14ac:dyDescent="0.2">
      <c r="A10" s="10" t="s">
        <v>105</v>
      </c>
      <c r="B10" s="18">
        <f>STDEVP(B5:B7)</f>
        <v>4.8989794855663558</v>
      </c>
      <c r="C10" s="18">
        <f>STDEVP(C5:C7)</f>
        <v>2.6246692913372702</v>
      </c>
      <c r="D10" s="18">
        <f>STDEVP(D5:D7)</f>
        <v>5.2493385826745405</v>
      </c>
    </row>
    <row r="12" spans="1:9" ht="15" customHeight="1" x14ac:dyDescent="0.2">
      <c r="A12" s="4" t="s">
        <v>106</v>
      </c>
      <c r="B12" s="4"/>
      <c r="C12" s="4"/>
      <c r="D12" s="4"/>
      <c r="E12" s="4"/>
      <c r="F12" s="4"/>
      <c r="G12" s="4"/>
      <c r="H12" s="4"/>
      <c r="I12" s="4"/>
    </row>
    <row r="13" spans="1:9" ht="15.75" customHeight="1" x14ac:dyDescent="0.2">
      <c r="A13" s="6"/>
      <c r="B13" s="7" t="s">
        <v>98</v>
      </c>
      <c r="C13" s="7" t="s">
        <v>99</v>
      </c>
      <c r="D13" s="7" t="s">
        <v>100</v>
      </c>
    </row>
    <row r="14" spans="1:9" ht="13.5" customHeight="1" x14ac:dyDescent="0.2">
      <c r="A14" s="10" t="s">
        <v>101</v>
      </c>
      <c r="B14" s="18">
        <f>(B5-$B$9)/$B$10</f>
        <v>-1.2247448713915892</v>
      </c>
      <c r="C14" s="18">
        <f>(C5-$C$9)/$C$10</f>
        <v>-0.50800050800076191</v>
      </c>
      <c r="D14" s="18">
        <f>(D5-$D$9)/$D$10</f>
        <v>-0.50800050800076191</v>
      </c>
    </row>
    <row r="15" spans="1:9" ht="13.5" customHeight="1" x14ac:dyDescent="0.2">
      <c r="A15" s="10" t="s">
        <v>102</v>
      </c>
      <c r="B15" s="18">
        <f>(B6-$B$9)/$B$10</f>
        <v>0</v>
      </c>
      <c r="C15" s="18">
        <f>(C6-$C$9)/$C$10</f>
        <v>-0.88900088900133345</v>
      </c>
      <c r="D15" s="18">
        <f>(D6-$D$9)/$D$10</f>
        <v>-0.88900088900133345</v>
      </c>
    </row>
    <row r="16" spans="1:9" ht="13.5" customHeight="1" x14ac:dyDescent="0.2">
      <c r="A16" s="10" t="s">
        <v>103</v>
      </c>
      <c r="B16" s="18">
        <f>(B7-$B$9)/$B$10</f>
        <v>1.2247448713915892</v>
      </c>
      <c r="C16" s="18">
        <f>(C7-$C$9)/$C$10</f>
        <v>1.3970013970020956</v>
      </c>
      <c r="D16" s="18">
        <f>(D7-$D$9)/$D$10</f>
        <v>1.3970013970020956</v>
      </c>
    </row>
    <row r="18" spans="1:9" ht="15" customHeight="1" x14ac:dyDescent="0.2">
      <c r="A18" s="4" t="s">
        <v>107</v>
      </c>
      <c r="B18" s="4"/>
      <c r="C18" s="4"/>
      <c r="D18" s="4"/>
      <c r="E18" s="4"/>
      <c r="F18" s="4"/>
      <c r="G18" s="4"/>
      <c r="H18" s="4"/>
      <c r="I18" s="4"/>
    </row>
    <row r="19" spans="1:9" ht="15.75" customHeight="1" x14ac:dyDescent="0.2">
      <c r="A19" s="19"/>
      <c r="B19" s="7" t="s">
        <v>98</v>
      </c>
      <c r="C19" s="7" t="s">
        <v>99</v>
      </c>
      <c r="D19" s="7" t="s">
        <v>100</v>
      </c>
    </row>
    <row r="20" spans="1:9" ht="13.5" customHeight="1" x14ac:dyDescent="0.2">
      <c r="A20" s="10" t="s">
        <v>98</v>
      </c>
      <c r="B20" s="17">
        <f>SUMPRODUCT(B14:B16,B14:B16)/3</f>
        <v>1.0000000000000002</v>
      </c>
      <c r="C20" s="18">
        <f>SUMPRODUCT(B14:B16,C14:C16)/3</f>
        <v>0.77771377104781914</v>
      </c>
      <c r="D20" s="18">
        <f>SUMPRODUCT(B14:B16,D14:D16)/3</f>
        <v>0.77771377104781914</v>
      </c>
    </row>
    <row r="21" spans="1:9" ht="13.5" customHeight="1" x14ac:dyDescent="0.2">
      <c r="A21" s="10" t="s">
        <v>99</v>
      </c>
      <c r="B21" s="18">
        <f>SUMPRODUCT(C14:C16,B14:B16)/3</f>
        <v>0.77771377104781914</v>
      </c>
      <c r="C21" s="17">
        <f>SUMPRODUCT(C14:C16,C14:C16)/3</f>
        <v>1</v>
      </c>
      <c r="D21" s="18">
        <f>SUMPRODUCT(C14:C16,D14:D16)/3</f>
        <v>1</v>
      </c>
    </row>
    <row r="22" spans="1:9" ht="13.5" customHeight="1" x14ac:dyDescent="0.2">
      <c r="A22" s="10" t="s">
        <v>100</v>
      </c>
      <c r="B22" s="18">
        <f>SUMPRODUCT(D14:D16,B14:B16)/3</f>
        <v>0.77771377104781914</v>
      </c>
      <c r="C22" s="18">
        <f>SUMPRODUCT(D14:D16,C14:C16)/3</f>
        <v>1</v>
      </c>
      <c r="D22" s="17">
        <f>SUMPRODUCT(D14:D16,D14:D16)/3</f>
        <v>1</v>
      </c>
    </row>
    <row r="25" spans="1:9" ht="15" customHeight="1" x14ac:dyDescent="0.2">
      <c r="A25" s="4" t="s">
        <v>108</v>
      </c>
      <c r="B25" s="4"/>
      <c r="C25" s="4"/>
      <c r="D25" s="4"/>
      <c r="E25" s="4"/>
      <c r="F25" s="4"/>
      <c r="G25" s="4"/>
      <c r="H25" s="4"/>
      <c r="I25" s="4"/>
    </row>
    <row r="26" spans="1:9" ht="13.5" customHeight="1" x14ac:dyDescent="0.2">
      <c r="A26" s="3" t="s">
        <v>109</v>
      </c>
      <c r="B26" s="3"/>
      <c r="C26" s="3"/>
      <c r="D26" s="3"/>
      <c r="E26" s="3"/>
      <c r="F26" s="3"/>
      <c r="G26" s="3"/>
      <c r="H26" s="3"/>
      <c r="I26" s="3"/>
    </row>
    <row r="27" spans="1:9" ht="13.5" customHeight="1" x14ac:dyDescent="0.2">
      <c r="A27" s="3" t="s">
        <v>110</v>
      </c>
      <c r="B27" s="3"/>
      <c r="C27" s="3"/>
      <c r="D27" s="3"/>
      <c r="E27" s="3"/>
      <c r="F27" s="3"/>
      <c r="G27" s="3"/>
      <c r="H27" s="3"/>
      <c r="I27" s="3"/>
    </row>
    <row r="28" spans="1:9" ht="13.5" customHeight="1" x14ac:dyDescent="0.2">
      <c r="A28" s="3" t="s">
        <v>111</v>
      </c>
      <c r="B28" s="3"/>
      <c r="C28" s="3"/>
      <c r="D28" s="3"/>
      <c r="E28" s="3"/>
      <c r="F28" s="3"/>
      <c r="G28" s="3"/>
      <c r="H28" s="3"/>
      <c r="I28" s="3"/>
    </row>
    <row r="30" spans="1:9" ht="15.75" customHeight="1" x14ac:dyDescent="0.2">
      <c r="A30" s="6" t="s">
        <v>112</v>
      </c>
      <c r="B30" s="6" t="s">
        <v>10</v>
      </c>
      <c r="C30" s="7" t="s">
        <v>2</v>
      </c>
    </row>
    <row r="31" spans="1:9" ht="13.5" customHeight="1" x14ac:dyDescent="0.2">
      <c r="A31" s="8" t="s">
        <v>113</v>
      </c>
      <c r="B31" s="8" t="s">
        <v>114</v>
      </c>
      <c r="C31" s="17">
        <f>B20+C21+D22</f>
        <v>3</v>
      </c>
    </row>
    <row r="32" spans="1:9" ht="13.5" customHeight="1" x14ac:dyDescent="0.2">
      <c r="A32" s="8" t="s">
        <v>115</v>
      </c>
      <c r="B32" s="8" t="s">
        <v>116</v>
      </c>
      <c r="C32" s="17">
        <v>0.7903</v>
      </c>
    </row>
    <row r="33" spans="1:9" ht="13.5" customHeight="1" x14ac:dyDescent="0.2">
      <c r="A33" s="8" t="s">
        <v>117</v>
      </c>
      <c r="B33" s="8" t="s">
        <v>118</v>
      </c>
      <c r="C33" s="16">
        <v>0</v>
      </c>
    </row>
    <row r="35" spans="1:9" ht="15" customHeight="1" x14ac:dyDescent="0.2">
      <c r="A35" s="4" t="s">
        <v>119</v>
      </c>
      <c r="B35" s="4"/>
      <c r="C35" s="4"/>
      <c r="D35" s="4"/>
      <c r="E35" s="4"/>
      <c r="F35" s="4"/>
      <c r="G35" s="4"/>
      <c r="H35" s="4"/>
      <c r="I35" s="4"/>
    </row>
    <row r="36" spans="1:9" ht="15.75" customHeight="1" x14ac:dyDescent="0.2">
      <c r="A36" s="7" t="s">
        <v>120</v>
      </c>
      <c r="B36" s="7" t="s">
        <v>121</v>
      </c>
      <c r="C36" s="7" t="s">
        <v>122</v>
      </c>
      <c r="D36" s="7" t="s">
        <v>123</v>
      </c>
    </row>
    <row r="37" spans="1:9" ht="13.5" customHeight="1" x14ac:dyDescent="0.2">
      <c r="A37" s="9" t="s">
        <v>124</v>
      </c>
      <c r="B37" s="17">
        <v>2.7082000000000002</v>
      </c>
      <c r="C37" s="9">
        <v>90.27</v>
      </c>
      <c r="D37" s="9">
        <v>90.27</v>
      </c>
    </row>
    <row r="38" spans="1:9" ht="13.5" customHeight="1" x14ac:dyDescent="0.2">
      <c r="A38" s="9" t="s">
        <v>125</v>
      </c>
      <c r="B38" s="17">
        <v>0.2918</v>
      </c>
      <c r="C38" s="9">
        <v>9.73</v>
      </c>
      <c r="D38" s="9">
        <v>100</v>
      </c>
    </row>
    <row r="39" spans="1:9" ht="13.5" customHeight="1" x14ac:dyDescent="0.2">
      <c r="A39" s="9" t="s">
        <v>126</v>
      </c>
      <c r="B39" s="17">
        <v>0</v>
      </c>
      <c r="C39" s="9">
        <v>0</v>
      </c>
      <c r="D39" s="9">
        <v>100</v>
      </c>
    </row>
    <row r="41" spans="1:9" ht="15" customHeight="1" x14ac:dyDescent="0.2">
      <c r="A41" s="3" t="s">
        <v>127</v>
      </c>
      <c r="B41" s="3"/>
      <c r="C41" s="3"/>
      <c r="D41" s="3"/>
      <c r="E41" s="3"/>
      <c r="F41" s="3"/>
      <c r="G41" s="3"/>
      <c r="H41" s="3"/>
      <c r="I41" s="3"/>
    </row>
  </sheetData>
  <mergeCells count="9">
    <mergeCell ref="A27:I27"/>
    <mergeCell ref="A28:I28"/>
    <mergeCell ref="A35:I35"/>
    <mergeCell ref="A41:I41"/>
    <mergeCell ref="A1:I1"/>
    <mergeCell ref="A12:I12"/>
    <mergeCell ref="A18:I18"/>
    <mergeCell ref="A25:I25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Q1.2 Bias-Variance</vt:lpstr>
      <vt:lpstr>Q2 Cross-Validation</vt:lpstr>
      <vt:lpstr>Q4 Bayes Theorem</vt:lpstr>
      <vt:lpstr>Q5 Gaussian Kernel</vt:lpstr>
      <vt:lpstr>Q6 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Mpho O'arabile Tlokotsi</cp:lastModifiedBy>
  <cp:revision>0</cp:revision>
  <dcterms:created xsi:type="dcterms:W3CDTF">2026-06-12T07:21:30Z</dcterms:created>
  <dcterms:modified xsi:type="dcterms:W3CDTF">2026-06-15T16:28:21Z</dcterms:modified>
  <dc:language>en-US</dc:language>
</cp:coreProperties>
</file>